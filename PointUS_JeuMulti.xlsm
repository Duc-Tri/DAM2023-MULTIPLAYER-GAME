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euille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<sst xmlns="http://schemas.openxmlformats.org/spreadsheetml/2006/main" count="105" uniqueCount="97">
  <si>
    <t xml:space="preserve">Numéro US</t>
  </si>
  <si>
    <t xml:space="preserve">Difficulté</t>
  </si>
  <si>
    <t xml:space="preserve">Intitulé</t>
  </si>
  <si>
    <t xml:space="preserve">US 0</t>
  </si>
  <si>
    <t xml:space="preserve">Création des classes</t>
  </si>
  <si>
    <t xml:space="preserve">Sprint</t>
  </si>
  <si>
    <t xml:space="preserve">Storypoints produit</t>
  </si>
  <si>
    <t xml:space="preserve">Couleur semaine</t>
  </si>
  <si>
    <t xml:space="preserve">US 1</t>
  </si>
  <si>
    <t xml:space="preserve">Icône</t>
  </si>
  <si>
    <t xml:space="preserve">S1</t>
  </si>
  <si>
    <t xml:space="preserve">US 2</t>
  </si>
  <si>
    <t xml:space="preserve">Saisie Pseudonyme</t>
  </si>
  <si>
    <t xml:space="preserve">S2</t>
  </si>
  <si>
    <t xml:space="preserve">US 3</t>
  </si>
  <si>
    <t xml:space="preserve">Persistance login</t>
  </si>
  <si>
    <t xml:space="preserve">S3</t>
  </si>
  <si>
    <t xml:space="preserve">US 4</t>
  </si>
  <si>
    <t xml:space="preserve">Réglages</t>
  </si>
  <si>
    <t xml:space="preserve">S4</t>
  </si>
  <si>
    <t xml:space="preserve">US 5</t>
  </si>
  <si>
    <t xml:space="preserve">Architecture Serveur</t>
  </si>
  <si>
    <t xml:space="preserve">US 6</t>
  </si>
  <si>
    <t xml:space="preserve">Personnage joueur</t>
  </si>
  <si>
    <t xml:space="preserve">US 7</t>
  </si>
  <si>
    <t xml:space="preserve">Classe entité</t>
  </si>
  <si>
    <t xml:space="preserve">User storys totales</t>
  </si>
  <si>
    <t xml:space="preserve">Storypoints total</t>
  </si>
  <si>
    <t xml:space="preserve">US 8</t>
  </si>
  <si>
    <t xml:space="preserve">Labyrinthe</t>
  </si>
  <si>
    <t xml:space="preserve">US 9</t>
  </si>
  <si>
    <t xml:space="preserve">Sourcing des sprites</t>
  </si>
  <si>
    <t xml:space="preserve">User storys restantes</t>
  </si>
  <si>
    <t xml:space="preserve">Storypoints restants</t>
  </si>
  <si>
    <t xml:space="preserve">US 10</t>
  </si>
  <si>
    <t xml:space="preserve">Path Finding</t>
  </si>
  <si>
    <t xml:space="preserve">US 11</t>
  </si>
  <si>
    <t xml:space="preserve">Création de partie</t>
  </si>
  <si>
    <t xml:space="preserve">US 12</t>
  </si>
  <si>
    <t xml:space="preserve">Invitation</t>
  </si>
  <si>
    <t xml:space="preserve">SPRINT ACTUEL</t>
  </si>
  <si>
    <t xml:space="preserve">US 13</t>
  </si>
  <si>
    <t xml:space="preserve">Renvoi de joueur d’un lobby</t>
  </si>
  <si>
    <t xml:space="preserve">US Sprint Actuel</t>
  </si>
  <si>
    <t xml:space="preserve">Storypoints Sprint actuel</t>
  </si>
  <si>
    <t xml:space="preserve">US 14</t>
  </si>
  <si>
    <t xml:space="preserve">Lancer partie</t>
  </si>
  <si>
    <t xml:space="preserve">US 15</t>
  </si>
  <si>
    <t xml:space="preserve">Annulation partie</t>
  </si>
  <si>
    <t xml:space="preserve">US 16</t>
  </si>
  <si>
    <t xml:space="preserve">Persistance lobby</t>
  </si>
  <si>
    <t xml:space="preserve">US 29</t>
  </si>
  <si>
    <t xml:space="preserve">US 17</t>
  </si>
  <si>
    <t xml:space="preserve">Message d’invitation</t>
  </si>
  <si>
    <t xml:space="preserve">US 30</t>
  </si>
  <si>
    <t xml:space="preserve">US 18</t>
  </si>
  <si>
    <t xml:space="preserve">Affichage Lobby</t>
  </si>
  <si>
    <t xml:space="preserve">US 32</t>
  </si>
  <si>
    <t xml:space="preserve">US 19</t>
  </si>
  <si>
    <t xml:space="preserve">Affichage créateur</t>
  </si>
  <si>
    <t xml:space="preserve">US 36</t>
  </si>
  <si>
    <t xml:space="preserve">US 20</t>
  </si>
  <si>
    <t xml:space="preserve">Perte en cas de déconnexion</t>
  </si>
  <si>
    <t xml:space="preserve">US 38</t>
  </si>
  <si>
    <t xml:space="preserve">US 21</t>
  </si>
  <si>
    <t xml:space="preserve">Multijoueur</t>
  </si>
  <si>
    <t xml:space="preserve">US 39</t>
  </si>
  <si>
    <t xml:space="preserve">US 22</t>
  </si>
  <si>
    <t xml:space="preserve">Collisions/Contraintes</t>
  </si>
  <si>
    <t xml:space="preserve">US 23</t>
  </si>
  <si>
    <t xml:space="preserve">Interactions mobs</t>
  </si>
  <si>
    <t xml:space="preserve">US 24</t>
  </si>
  <si>
    <t xml:space="preserve">Interaction Items (Non récupérables)</t>
  </si>
  <si>
    <t xml:space="preserve">US 25</t>
  </si>
  <si>
    <t xml:space="preserve">Interaction Items (Récupérables)</t>
  </si>
  <si>
    <t xml:space="preserve">US 26</t>
  </si>
  <si>
    <t xml:space="preserve">Mort</t>
  </si>
  <si>
    <t xml:space="preserve">US 27</t>
  </si>
  <si>
    <t xml:space="preserve">Résurrection</t>
  </si>
  <si>
    <t xml:space="preserve">US 28</t>
  </si>
  <si>
    <t xml:space="preserve">Fin de partie</t>
  </si>
  <si>
    <t xml:space="preserve">Ajout base de donnée</t>
  </si>
  <si>
    <t xml:space="preserve">Lobby</t>
  </si>
  <si>
    <t xml:space="preserve">US 31</t>
  </si>
  <si>
    <t xml:space="preserve">Serveur de la partie</t>
  </si>
  <si>
    <t xml:space="preserve">Monstre (mob)</t>
  </si>
  <si>
    <t xml:space="preserve">US 33</t>
  </si>
  <si>
    <t xml:space="preserve">Autel de résurrection</t>
  </si>
  <si>
    <t xml:space="preserve">US 34</t>
  </si>
  <si>
    <t xml:space="preserve">Intégration des parties</t>
  </si>
  <si>
    <t xml:space="preserve">US 35</t>
  </si>
  <si>
    <t xml:space="preserve">Page de connexion et du choix de mode de jeu</t>
  </si>
  <si>
    <t xml:space="preserve">Déconnexion et suppression des avatars non-utilisés</t>
  </si>
  <si>
    <t xml:space="preserve">US 37</t>
  </si>
  <si>
    <t xml:space="preserve">Mise en place du Git</t>
  </si>
  <si>
    <t xml:space="preserve">Design HUD et éléments graphiques</t>
  </si>
  <si>
    <t xml:space="preserve">HUD (Dans la partie jeu)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</si>
</sst>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D4EA6B"/>
        <bgColor rgb="FFCCFFCC"/>
      </patternFill>
    </fill>
    <fill>
      <patternFill patternType="solid">
        <fgColor rgb="FFB4C7DC"/>
        <bgColor rgb="FFCCCCFF"/>
      </patternFill>
    </fill>
    <fill>
      <patternFill patternType="solid">
        <fgColor rgb="FFEC9BA4"/>
        <bgColor rgb="FFFF8080"/>
      </patternFill>
    </fill>
    <fill>
      <patternFill patternType="solid">
        <fgColor rgb="FFBF819E"/>
        <bgColor rgb="FFEC9BA4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D4EA6B"/>
      <rgbColor rgb="FF99CCFF"/>
      <rgbColor rgb="FFEC9BA4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4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20" activeCellId="0" sqref="F20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17.66"/>
    <col collapsed="false" customWidth="true" hidden="false" outlineLevel="0" max="3" min="3" style="1" width="46.45"/>
    <col collapsed="false" customWidth="true" hidden="false" outlineLevel="0" max="5" min="5" style="1" width="19.65"/>
    <col collapsed="false" customWidth="true" hidden="false" outlineLevel="0" max="6" min="6" style="1" width="26.01"/>
    <col collapsed="false" customWidth="true" hidden="false" outlineLevel="0" max="7" min="7" style="1" width="16.17"/>
  </cols>
  <sheetData>
    <row r="1" customFormat="false" ht="12.8" hidden="false" customHeight="false" outlineLevel="0" collapsed="false">
      <c r="A1" s="2" t="s">
        <v>0</v>
      </c>
      <c r="B1" s="2" t="s">
        <v>1</v>
      </c>
      <c r="C1" s="2" t="s">
        <v>2</v>
      </c>
    </row>
    <row r="2" customFormat="false" ht="12.8" hidden="false" customHeight="false" outlineLevel="0" collapsed="false">
      <c r="A2" s="3" t="s">
        <v>3</v>
      </c>
      <c r="B2" s="3" t="n">
        <v>13</v>
      </c>
      <c r="C2" s="4" t="s">
        <v>4</v>
      </c>
      <c r="E2" s="5" t="s">
        <v>5</v>
      </c>
      <c r="F2" s="5" t="s">
        <v>6</v>
      </c>
      <c r="G2" s="2" t="s">
        <v>7</v>
      </c>
    </row>
    <row r="3" customFormat="false" ht="12.8" hidden="false" customHeight="false" outlineLevel="0" collapsed="false">
      <c r="A3" s="6" t="s">
        <v>8</v>
      </c>
      <c r="B3" s="6" t="n">
        <v>1</v>
      </c>
      <c r="C3" s="7" t="s">
        <v>9</v>
      </c>
      <c r="E3" s="5" t="s">
        <v>10</v>
      </c>
      <c r="F3" s="5" t="n">
        <f aca="false">SUM(B2,B7,B8,B9,B10,B12,B33,B39)</f>
        <v>118</v>
      </c>
      <c r="G3" s="4"/>
    </row>
    <row r="4" customFormat="false" ht="12.8" hidden="false" customHeight="false" outlineLevel="0" collapsed="false">
      <c r="A4" s="6" t="s">
        <v>11</v>
      </c>
      <c r="B4" s="6" t="n">
        <v>1</v>
      </c>
      <c r="C4" s="7" t="s">
        <v>12</v>
      </c>
      <c r="E4" s="5" t="s">
        <v>13</v>
      </c>
      <c r="F4" s="5" t="n">
        <f aca="false">SUM(B3,B4,B5,B11,B16,B23,B24,B36,B37)</f>
        <v>68</v>
      </c>
      <c r="G4" s="7"/>
    </row>
    <row r="5" customFormat="false" ht="12.8" hidden="false" customHeight="false" outlineLevel="0" collapsed="false">
      <c r="A5" s="6" t="s">
        <v>14</v>
      </c>
      <c r="B5" s="6" t="n">
        <v>3</v>
      </c>
      <c r="C5" s="7" t="s">
        <v>15</v>
      </c>
      <c r="E5" s="5" t="s">
        <v>16</v>
      </c>
      <c r="F5" s="5" t="n">
        <f aca="false">SUM(B6,B17,B31,B32,B34,B38,B40,B41)</f>
        <v>68</v>
      </c>
      <c r="G5" s="8"/>
    </row>
    <row r="6" customFormat="false" ht="12.8" hidden="false" customHeight="false" outlineLevel="0" collapsed="false">
      <c r="A6" s="9" t="s">
        <v>17</v>
      </c>
      <c r="B6" s="9" t="n">
        <v>1</v>
      </c>
      <c r="C6" s="8" t="s">
        <v>18</v>
      </c>
      <c r="E6" s="5" t="s">
        <v>19</v>
      </c>
      <c r="F6" s="5"/>
      <c r="G6" s="10"/>
    </row>
    <row r="7" customFormat="false" ht="12.8" hidden="false" customHeight="false" outlineLevel="0" collapsed="false">
      <c r="A7" s="3" t="s">
        <v>20</v>
      </c>
      <c r="B7" s="3" t="n">
        <v>40</v>
      </c>
      <c r="C7" s="4" t="s">
        <v>21</v>
      </c>
    </row>
    <row r="8" customFormat="false" ht="12.8" hidden="false" customHeight="false" outlineLevel="0" collapsed="false">
      <c r="A8" s="3" t="s">
        <v>22</v>
      </c>
      <c r="B8" s="3" t="n">
        <v>5</v>
      </c>
      <c r="C8" s="4" t="s">
        <v>23</v>
      </c>
    </row>
    <row r="9" customFormat="false" ht="12.8" hidden="false" customHeight="false" outlineLevel="0" collapsed="false">
      <c r="A9" s="3" t="s">
        <v>24</v>
      </c>
      <c r="B9" s="3" t="n">
        <v>3</v>
      </c>
      <c r="C9" s="4" t="s">
        <v>25</v>
      </c>
      <c r="E9" s="5" t="s">
        <v>26</v>
      </c>
      <c r="F9" s="5" t="s">
        <v>27</v>
      </c>
    </row>
    <row r="10" customFormat="false" ht="12.8" hidden="false" customHeight="false" outlineLevel="0" collapsed="false">
      <c r="A10" s="3" t="s">
        <v>28</v>
      </c>
      <c r="B10" s="3" t="n">
        <v>13</v>
      </c>
      <c r="C10" s="4" t="s">
        <v>29</v>
      </c>
      <c r="E10" s="5" t="n">
        <f aca="false">COUNTA(A2:A41)</f>
        <v>40</v>
      </c>
      <c r="F10" s="5" t="n">
        <f aca="false">SUM(B2:B41)</f>
        <v>320</v>
      </c>
    </row>
    <row r="11" customFormat="false" ht="12.8" hidden="false" customHeight="false" outlineLevel="0" collapsed="false">
      <c r="A11" s="6" t="s">
        <v>30</v>
      </c>
      <c r="B11" s="6" t="n">
        <v>3</v>
      </c>
      <c r="C11" s="7" t="s">
        <v>31</v>
      </c>
      <c r="E11" s="5" t="s">
        <v>32</v>
      </c>
      <c r="F11" s="5" t="s">
        <v>33</v>
      </c>
    </row>
    <row r="12" customFormat="false" ht="12.8" hidden="false" customHeight="false" outlineLevel="0" collapsed="false">
      <c r="A12" s="3" t="s">
        <v>34</v>
      </c>
      <c r="B12" s="3" t="n">
        <v>3</v>
      </c>
      <c r="C12" s="4" t="s">
        <v>35</v>
      </c>
      <c r="E12" s="5" t="n">
        <f aca="false">COUNTA(A6,A13,A14,A15,A17,A18,A19,A20,A21,A22,A25,A26,A27,A28,A29,A30,A31,A32,A34,A35,A38,A40,A41)</f>
        <v>23</v>
      </c>
      <c r="F12" s="5" t="n">
        <f aca="false">SUM(B6,B13,B14,B15,B17,B18,B19,B20,B21,B22,B25,B26,B27,B28,B29,B30,B31,B32,B34,B35,B38,B40)</f>
        <v>126</v>
      </c>
    </row>
    <row r="13" customFormat="false" ht="12.8" hidden="false" customHeight="false" outlineLevel="0" collapsed="false">
      <c r="A13" s="6" t="s">
        <v>36</v>
      </c>
      <c r="B13" s="6" t="n">
        <v>5</v>
      </c>
      <c r="C13" s="11" t="s">
        <v>37</v>
      </c>
    </row>
    <row r="14" customFormat="false" ht="12.8" hidden="false" customHeight="false" outlineLevel="0" collapsed="false">
      <c r="A14" s="5" t="s">
        <v>38</v>
      </c>
      <c r="B14" s="5" t="n">
        <v>5</v>
      </c>
      <c r="C14" s="2" t="s">
        <v>39</v>
      </c>
      <c r="E14" s="12" t="s">
        <v>40</v>
      </c>
      <c r="F14" s="12"/>
    </row>
    <row r="15" customFormat="false" ht="12.8" hidden="false" customHeight="false" outlineLevel="0" collapsed="false">
      <c r="A15" s="5" t="s">
        <v>41</v>
      </c>
      <c r="B15" s="5" t="n">
        <v>3</v>
      </c>
      <c r="C15" s="2" t="s">
        <v>42</v>
      </c>
      <c r="E15" s="5" t="s">
        <v>43</v>
      </c>
      <c r="F15" s="5" t="s">
        <v>44</v>
      </c>
    </row>
    <row r="16" customFormat="false" ht="12.8" hidden="false" customHeight="false" outlineLevel="0" collapsed="false">
      <c r="A16" s="6" t="s">
        <v>45</v>
      </c>
      <c r="B16" s="6" t="n">
        <v>8</v>
      </c>
      <c r="C16" s="7" t="s">
        <v>46</v>
      </c>
      <c r="E16" s="5" t="s">
        <v>17</v>
      </c>
      <c r="F16" s="5" t="n">
        <v>1</v>
      </c>
    </row>
    <row r="17" customFormat="false" ht="12.8" hidden="false" customHeight="false" outlineLevel="0" collapsed="false">
      <c r="A17" s="9" t="s">
        <v>47</v>
      </c>
      <c r="B17" s="9" t="n">
        <v>5</v>
      </c>
      <c r="C17" s="8" t="s">
        <v>48</v>
      </c>
      <c r="E17" s="5" t="s">
        <v>47</v>
      </c>
      <c r="F17" s="5" t="n">
        <v>5</v>
      </c>
    </row>
    <row r="18" customFormat="false" ht="12.8" hidden="false" customHeight="false" outlineLevel="0" collapsed="false">
      <c r="A18" s="5" t="s">
        <v>49</v>
      </c>
      <c r="B18" s="5" t="n">
        <v>5</v>
      </c>
      <c r="C18" s="2" t="s">
        <v>50</v>
      </c>
      <c r="E18" s="5" t="s">
        <v>51</v>
      </c>
      <c r="F18" s="5" t="n">
        <v>5</v>
      </c>
    </row>
    <row r="19" customFormat="false" ht="12.8" hidden="false" customHeight="false" outlineLevel="0" collapsed="false">
      <c r="A19" s="5" t="s">
        <v>52</v>
      </c>
      <c r="B19" s="5" t="n">
        <v>3</v>
      </c>
      <c r="C19" s="2" t="s">
        <v>53</v>
      </c>
      <c r="E19" s="5" t="s">
        <v>54</v>
      </c>
      <c r="F19" s="5" t="n">
        <v>8</v>
      </c>
    </row>
    <row r="20" customFormat="false" ht="12.8" hidden="false" customHeight="false" outlineLevel="0" collapsed="false">
      <c r="A20" s="5" t="s">
        <v>55</v>
      </c>
      <c r="B20" s="5" t="n">
        <v>3</v>
      </c>
      <c r="C20" s="2" t="s">
        <v>56</v>
      </c>
      <c r="E20" s="5" t="s">
        <v>57</v>
      </c>
      <c r="F20" s="5" t="n">
        <v>20</v>
      </c>
    </row>
    <row r="21" customFormat="false" ht="12.8" hidden="false" customHeight="false" outlineLevel="0" collapsed="false">
      <c r="A21" s="5" t="s">
        <v>58</v>
      </c>
      <c r="B21" s="5" t="n">
        <v>1</v>
      </c>
      <c r="C21" s="2" t="s">
        <v>59</v>
      </c>
      <c r="E21" s="5" t="s">
        <v>60</v>
      </c>
      <c r="F21" s="5" t="n">
        <v>13</v>
      </c>
    </row>
    <row r="22" customFormat="false" ht="12.8" hidden="false" customHeight="false" outlineLevel="0" collapsed="false">
      <c r="A22" s="5" t="s">
        <v>61</v>
      </c>
      <c r="B22" s="5" t="n">
        <v>1</v>
      </c>
      <c r="C22" s="2" t="s">
        <v>62</v>
      </c>
      <c r="E22" s="5" t="s">
        <v>63</v>
      </c>
      <c r="F22" s="5" t="n">
        <v>8</v>
      </c>
    </row>
    <row r="23" customFormat="false" ht="12.8" hidden="false" customHeight="false" outlineLevel="0" collapsed="false">
      <c r="A23" s="6" t="s">
        <v>64</v>
      </c>
      <c r="B23" s="6" t="n">
        <v>5</v>
      </c>
      <c r="C23" s="7" t="s">
        <v>65</v>
      </c>
      <c r="E23" s="5" t="s">
        <v>66</v>
      </c>
      <c r="F23" s="5" t="n">
        <v>8</v>
      </c>
    </row>
    <row r="24" customFormat="false" ht="12.8" hidden="false" customHeight="false" outlineLevel="0" collapsed="false">
      <c r="A24" s="6" t="s">
        <v>67</v>
      </c>
      <c r="B24" s="6" t="n">
        <v>2</v>
      </c>
      <c r="C24" s="7" t="s">
        <v>68</v>
      </c>
      <c r="E24" s="13" t="n">
        <f aca="false">COUNTA(E16:E23)</f>
        <v>8</v>
      </c>
      <c r="F24" s="13" t="n">
        <f aca="false">SUM(F16:F23)</f>
        <v>68</v>
      </c>
    </row>
    <row r="25" customFormat="false" ht="12.8" hidden="false" customHeight="false" outlineLevel="0" collapsed="false">
      <c r="A25" s="5" t="s">
        <v>69</v>
      </c>
      <c r="B25" s="5" t="n">
        <v>8</v>
      </c>
      <c r="C25" s="2" t="s">
        <v>70</v>
      </c>
    </row>
    <row r="26" customFormat="false" ht="12.8" hidden="false" customHeight="false" outlineLevel="0" collapsed="false">
      <c r="A26" s="5" t="s">
        <v>71</v>
      </c>
      <c r="B26" s="5" t="n">
        <v>2</v>
      </c>
      <c r="C26" s="2" t="s">
        <v>72</v>
      </c>
    </row>
    <row r="27" customFormat="false" ht="12.8" hidden="false" customHeight="false" outlineLevel="0" collapsed="false">
      <c r="A27" s="5" t="s">
        <v>73</v>
      </c>
      <c r="B27" s="5" t="n">
        <v>3</v>
      </c>
      <c r="C27" s="2" t="s">
        <v>74</v>
      </c>
    </row>
    <row r="28" customFormat="false" ht="12.8" hidden="false" customHeight="false" outlineLevel="0" collapsed="false">
      <c r="A28" s="5" t="s">
        <v>75</v>
      </c>
      <c r="B28" s="5" t="n">
        <v>3</v>
      </c>
      <c r="C28" s="2" t="s">
        <v>76</v>
      </c>
    </row>
    <row r="29" customFormat="false" ht="12.8" hidden="false" customHeight="false" outlineLevel="0" collapsed="false">
      <c r="A29" s="5" t="s">
        <v>77</v>
      </c>
      <c r="B29" s="5" t="n">
        <v>8</v>
      </c>
      <c r="C29" s="2" t="s">
        <v>78</v>
      </c>
    </row>
    <row r="30" customFormat="false" ht="12.8" hidden="false" customHeight="false" outlineLevel="0" collapsed="false">
      <c r="A30" s="5" t="s">
        <v>79</v>
      </c>
      <c r="B30" s="5" t="n">
        <v>8</v>
      </c>
      <c r="C30" s="2" t="s">
        <v>80</v>
      </c>
    </row>
    <row r="31" customFormat="false" ht="12.8" hidden="false" customHeight="false" outlineLevel="0" collapsed="false">
      <c r="A31" s="9" t="s">
        <v>51</v>
      </c>
      <c r="B31" s="9" t="n">
        <v>5</v>
      </c>
      <c r="C31" s="8" t="s">
        <v>81</v>
      </c>
    </row>
    <row r="32" customFormat="false" ht="12.8" hidden="false" customHeight="false" outlineLevel="0" collapsed="false">
      <c r="A32" s="9" t="s">
        <v>54</v>
      </c>
      <c r="B32" s="9" t="n">
        <v>8</v>
      </c>
      <c r="C32" s="8" t="s">
        <v>82</v>
      </c>
    </row>
    <row r="33" customFormat="false" ht="12.8" hidden="false" customHeight="false" outlineLevel="0" collapsed="false">
      <c r="A33" s="3" t="s">
        <v>83</v>
      </c>
      <c r="B33" s="3" t="n">
        <v>40</v>
      </c>
      <c r="C33" s="4" t="s">
        <v>84</v>
      </c>
    </row>
    <row r="34" customFormat="false" ht="12.8" hidden="false" customHeight="false" outlineLevel="0" collapsed="false">
      <c r="A34" s="9" t="s">
        <v>57</v>
      </c>
      <c r="B34" s="9" t="n">
        <v>20</v>
      </c>
      <c r="C34" s="8" t="s">
        <v>85</v>
      </c>
    </row>
    <row r="35" customFormat="false" ht="12.8" hidden="false" customHeight="false" outlineLevel="0" collapsed="false">
      <c r="A35" s="5" t="s">
        <v>86</v>
      </c>
      <c r="B35" s="5" t="n">
        <v>8</v>
      </c>
      <c r="C35" s="2" t="s">
        <v>87</v>
      </c>
    </row>
    <row r="36" customFormat="false" ht="12.8" hidden="false" customHeight="false" outlineLevel="0" collapsed="false">
      <c r="A36" s="6" t="s">
        <v>88</v>
      </c>
      <c r="B36" s="6" t="n">
        <v>40</v>
      </c>
      <c r="C36" s="7" t="s">
        <v>89</v>
      </c>
    </row>
    <row r="37" customFormat="false" ht="12.8" hidden="false" customHeight="false" outlineLevel="0" collapsed="false">
      <c r="A37" s="6" t="s">
        <v>90</v>
      </c>
      <c r="B37" s="6" t="n">
        <v>5</v>
      </c>
      <c r="C37" s="7" t="s">
        <v>91</v>
      </c>
    </row>
    <row r="38" customFormat="false" ht="12.8" hidden="false" customHeight="false" outlineLevel="0" collapsed="false">
      <c r="A38" s="9" t="s">
        <v>60</v>
      </c>
      <c r="B38" s="9" t="n">
        <v>13</v>
      </c>
      <c r="C38" s="8" t="s">
        <v>92</v>
      </c>
    </row>
    <row r="39" customFormat="false" ht="12.8" hidden="false" customHeight="false" outlineLevel="0" collapsed="false">
      <c r="A39" s="3" t="s">
        <v>93</v>
      </c>
      <c r="B39" s="3" t="n">
        <v>1</v>
      </c>
      <c r="C39" s="4" t="s">
        <v>94</v>
      </c>
    </row>
    <row r="40" customFormat="false" ht="12.8" hidden="false" customHeight="false" outlineLevel="0" collapsed="false">
      <c r="A40" s="9" t="s">
        <v>63</v>
      </c>
      <c r="B40" s="9" t="n">
        <v>8</v>
      </c>
      <c r="C40" s="8" t="s">
        <v>95</v>
      </c>
    </row>
    <row r="41" customFormat="false" ht="12.8" hidden="false" customHeight="false" outlineLevel="0" collapsed="false">
      <c r="A41" s="9" t="s">
        <v>66</v>
      </c>
      <c r="B41" s="9" t="n">
        <v>8</v>
      </c>
      <c r="C41" s="8" t="s">
        <v>96</v>
      </c>
    </row>
    <row r="42" customFormat="false" ht="12.8" hidden="false" customHeight="false" outlineLevel="0" collapsed="false">
      <c r="C42" s="14"/>
    </row>
    <row r="43" customFormat="false" ht="12.8" hidden="false" customHeight="false" outlineLevel="0" collapsed="false">
      <c r="C43" s="15"/>
    </row>
    <row r="44" customFormat="false" ht="12.8" hidden="false" customHeight="false" outlineLevel="0" collapsed="false">
      <c r="C44" s="15"/>
    </row>
  </sheetData>
  <mergeCells count="1">
    <mergeCell ref="E14:F14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564</TotalTime>
  <Application>LibreOffice/7.5.0.3$Windows_X86_64 LibreOffice_project/c21113d003cd3efa8c53188764377a8272d9d6de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2023-03-13T09:46:52Z</dcterms:created>
  <dc:creator/>
  <dc:description/>
  <dc:language>fr-FR</dc:language>
  <cp:lastModifiedBy/>
  <dcterms:modified xsi:type="dcterms:W3CDTF">2023-03-15T17:22:23Z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